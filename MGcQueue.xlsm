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f79fdbf006464ccb/Documents/VT Class material/Simulation/"/>
    </mc:Choice>
  </mc:AlternateContent>
  <xr:revisionPtr revIDLastSave="2561" documentId="8_{EBCC9944-C88B-40C2-8C1D-5F1B19281D15}" xr6:coauthVersionLast="47" xr6:coauthVersionMax="47" xr10:uidLastSave="{099FFADE-6D46-47B1-93E3-268715BA51EE}"/>
  <bookViews>
    <workbookView xWindow="-108" yWindow="-108" windowWidth="23256" windowHeight="12456" activeTab="5" xr2:uid="{F27361EE-100F-46F2-8C15-1E2DC3B0BACE}"/>
  </bookViews>
  <sheets>
    <sheet name="M_G_3" sheetId="4" r:id="rId1"/>
    <sheet name="M_G_2" sheetId="3" r:id="rId2"/>
    <sheet name="M_G_1" sheetId="5" r:id="rId3"/>
    <sheet name="M_G_c" sheetId="1" r:id="rId4"/>
    <sheet name="Summary" sheetId="6" r:id="rId5"/>
    <sheet name="PhoneCaller" sheetId="7"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 i="7" l="1"/>
  <c r="N9" i="7"/>
  <c r="M10" i="7"/>
  <c r="M9" i="7"/>
  <c r="L10" i="7"/>
  <c r="L9" i="7"/>
  <c r="K10" i="7"/>
  <c r="K9" i="7"/>
  <c r="K11" i="7" l="1"/>
  <c r="L11" i="7"/>
  <c r="M12" i="7"/>
  <c r="K12" i="7"/>
  <c r="L12" i="7"/>
  <c r="M11" i="7"/>
  <c r="N12" i="7"/>
  <c r="N11" i="7"/>
  <c r="D13" i="3" l="1"/>
  <c r="D13" i="4"/>
  <c r="E4" i="6"/>
  <c r="E3" i="6"/>
  <c r="D13" i="1"/>
  <c r="C13" i="4"/>
  <c r="B13" i="4"/>
  <c r="A13" i="4"/>
  <c r="C13" i="3"/>
  <c r="B13" i="3"/>
  <c r="A13" i="3"/>
  <c r="D13" i="5"/>
  <c r="C13" i="5"/>
  <c r="B13" i="5"/>
  <c r="A13" i="5"/>
  <c r="C13" i="1"/>
  <c r="B13" i="1"/>
  <c r="A13" i="1"/>
</calcChain>
</file>

<file path=xl/sharedStrings.xml><?xml version="1.0" encoding="utf-8"?>
<sst xmlns="http://schemas.openxmlformats.org/spreadsheetml/2006/main" count="49" uniqueCount="25">
  <si>
    <t>Average Wait</t>
  </si>
  <si>
    <t>Average Number in Queue</t>
  </si>
  <si>
    <t>Number Remaining in Queue</t>
  </si>
  <si>
    <t>Server Utilization</t>
  </si>
  <si>
    <t>No. Of Servers</t>
  </si>
  <si>
    <t>Average</t>
  </si>
  <si>
    <t>Servers</t>
  </si>
  <si>
    <t xml:space="preserve">We can see that as number of servers increase and correspondingly there being an increase in service times we see that the average waiting increases with number of servers but the average number of customers in queue decreases. </t>
  </si>
  <si>
    <t>Parameters</t>
  </si>
  <si>
    <t>Operation time</t>
  </si>
  <si>
    <t>Arrival Rate</t>
  </si>
  <si>
    <t>Exp(lambda)</t>
  </si>
  <si>
    <t>Unif(5,12)</t>
  </si>
  <si>
    <t>Queue Capacity</t>
  </si>
  <si>
    <t xml:space="preserve">Service rate </t>
  </si>
  <si>
    <t>Customers Lost</t>
  </si>
  <si>
    <t>Statistics</t>
  </si>
  <si>
    <t>Mean</t>
  </si>
  <si>
    <t>SD</t>
  </si>
  <si>
    <t>Lost customers</t>
  </si>
  <si>
    <t>95% CI UL</t>
  </si>
  <si>
    <t>95% CI LL</t>
  </si>
  <si>
    <t>Average Number</t>
  </si>
  <si>
    <t xml:space="preserve">For a queue capacity of 5 we see that lost customers account for less than 5% of total customers, </t>
  </si>
  <si>
    <t>We also see that if we add more capacity to the queue the server utilization also increases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</si>
</sst>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7">
    <xf numFmtId="0" fontId="0" fillId="0" borderId="0" xfId="0"/>
    <xf numFmtId="0" fontId="1" fillId="0" borderId="0" xfId="0" applyFont="1"/>
    <xf numFmtId="0" fontId="0" fillId="0" borderId="1" xfId="0" applyBorder="1"/>
    <xf numFmtId="10" fontId="0" fillId="0" borderId="1" xfId="0" applyNumberFormat="1" applyBorder="1"/>
    <xf numFmtId="2" fontId="0" fillId="0" borderId="1" xfId="0" applyNumberFormat="1" applyBorder="1"/>
    <xf numFmtId="0" fontId="1" fillId="0" borderId="2" xfId="0" applyFont="1" applyBorder="1"/>
    <xf numFmtId="0" fontId="0" fillId="0" borderId="3" xfId="0" applyBorder="1"/>
    <xf numFmtId="0" fontId="0" fillId="0" borderId="4" xfId="0" applyBorder="1"/>
    <xf numFmtId="0" fontId="0" fillId="0" borderId="5" xfId="0" applyBorder="1"/>
    <xf numFmtId="2" fontId="0" fillId="0" borderId="6" xfId="0" applyNumberFormat="1" applyBorder="1"/>
    <xf numFmtId="0" fontId="0" fillId="0" borderId="7" xfId="0" applyBorder="1"/>
    <xf numFmtId="10" fontId="0" fillId="0" borderId="8" xfId="0" applyNumberFormat="1" applyBorder="1"/>
    <xf numFmtId="2" fontId="0" fillId="0" borderId="8" xfId="0" applyNumberFormat="1" applyBorder="1"/>
    <xf numFmtId="2" fontId="0" fillId="0" borderId="9" xfId="0" applyNumberFormat="1" applyBorder="1"/>
    <xf numFmtId="0" fontId="0" fillId="0" borderId="6" xfId="0" applyBorder="1"/>
    <xf numFmtId="0" fontId="0" fillId="0" borderId="8" xfId="0" applyBorder="1"/>
    <xf numFmtId="0" fontId="0" fillId="0" borderId="9"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a:t>
            </a:r>
            <a:r>
              <a:rPr lang="en-IN" baseline="0"/>
              <a:t> Wait</a:t>
            </a:r>
            <a:endParaRPr lang="en-IN"/>
          </a:p>
        </c:rich>
      </c:tx>
      <c:layout>
        <c:manualLayout>
          <c:xMode val="edge"/>
          <c:yMode val="edge"/>
          <c:x val="0.39838188976377953"/>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Summary!$A$2:$A$4</c:f>
              <c:numCache>
                <c:formatCode>General</c:formatCode>
                <c:ptCount val="3"/>
                <c:pt idx="0">
                  <c:v>1</c:v>
                </c:pt>
                <c:pt idx="1">
                  <c:v>2</c:v>
                </c:pt>
                <c:pt idx="2">
                  <c:v>3</c:v>
                </c:pt>
              </c:numCache>
            </c:numRef>
          </c:xVal>
          <c:yVal>
            <c:numRef>
              <c:f>Summary!$B$2:$B$4</c:f>
              <c:numCache>
                <c:formatCode>General</c:formatCode>
                <c:ptCount val="3"/>
                <c:pt idx="0">
                  <c:v>2.9323776727355026</c:v>
                </c:pt>
                <c:pt idx="1">
                  <c:v>3.5168045116107143</c:v>
                </c:pt>
                <c:pt idx="2">
                  <c:v>4.1560040498241211</c:v>
                </c:pt>
              </c:numCache>
            </c:numRef>
          </c:yVal>
          <c:smooth val="0"/>
          <c:extLst>
            <c:ext xmlns:c16="http://schemas.microsoft.com/office/drawing/2014/chart" uri="{C3380CC4-5D6E-409C-BE32-E72D297353CC}">
              <c16:uniqueId val="{00000000-30FE-45E5-803F-AAD980B5B8C2}"/>
            </c:ext>
          </c:extLst>
        </c:ser>
        <c:dLbls>
          <c:showLegendKey val="0"/>
          <c:showVal val="0"/>
          <c:showCatName val="0"/>
          <c:showSerName val="0"/>
          <c:showPercent val="0"/>
          <c:showBubbleSize val="0"/>
        </c:dLbls>
        <c:axId val="1488602767"/>
        <c:axId val="1488605263"/>
      </c:scatterChart>
      <c:valAx>
        <c:axId val="14886027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8605263"/>
        <c:crosses val="autoZero"/>
        <c:crossBetween val="midCat"/>
      </c:valAx>
      <c:valAx>
        <c:axId val="1488605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860276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Average Number in Queue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Summary!$A$2:$A$4</c:f>
              <c:numCache>
                <c:formatCode>General</c:formatCode>
                <c:ptCount val="3"/>
                <c:pt idx="0">
                  <c:v>1</c:v>
                </c:pt>
                <c:pt idx="1">
                  <c:v>2</c:v>
                </c:pt>
                <c:pt idx="2">
                  <c:v>3</c:v>
                </c:pt>
              </c:numCache>
            </c:numRef>
          </c:xVal>
          <c:yVal>
            <c:numRef>
              <c:f>Summary!$C$2:$C$4</c:f>
              <c:numCache>
                <c:formatCode>General</c:formatCode>
                <c:ptCount val="3"/>
                <c:pt idx="0">
                  <c:v>2.1332127468115716</c:v>
                </c:pt>
                <c:pt idx="1">
                  <c:v>1.9176658323067222</c:v>
                </c:pt>
                <c:pt idx="2">
                  <c:v>1.7569181339026951</c:v>
                </c:pt>
              </c:numCache>
            </c:numRef>
          </c:yVal>
          <c:smooth val="0"/>
          <c:extLst>
            <c:ext xmlns:c16="http://schemas.microsoft.com/office/drawing/2014/chart" uri="{C3380CC4-5D6E-409C-BE32-E72D297353CC}">
              <c16:uniqueId val="{00000000-2ECD-43C3-8415-2EBB9C02012E}"/>
            </c:ext>
          </c:extLst>
        </c:ser>
        <c:dLbls>
          <c:showLegendKey val="0"/>
          <c:showVal val="0"/>
          <c:showCatName val="0"/>
          <c:showSerName val="0"/>
          <c:showPercent val="0"/>
          <c:showBubbleSize val="0"/>
        </c:dLbls>
        <c:axId val="862776399"/>
        <c:axId val="862773903"/>
      </c:scatterChart>
      <c:valAx>
        <c:axId val="8627763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773903"/>
        <c:crosses val="autoZero"/>
        <c:crossBetween val="midCat"/>
      </c:valAx>
      <c:valAx>
        <c:axId val="862773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7763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6</xdr:row>
      <xdr:rowOff>15240</xdr:rowOff>
    </xdr:from>
    <xdr:to>
      <xdr:col>7</xdr:col>
      <xdr:colOff>434340</xdr:colOff>
      <xdr:row>21</xdr:row>
      <xdr:rowOff>15240</xdr:rowOff>
    </xdr:to>
    <xdr:graphicFrame macro="">
      <xdr:nvGraphicFramePr>
        <xdr:cNvPr id="2" name="Chart 1">
          <a:extLst>
            <a:ext uri="{FF2B5EF4-FFF2-40B4-BE49-F238E27FC236}">
              <a16:creationId xmlns:a16="http://schemas.microsoft.com/office/drawing/2014/main" id="{B0873BA5-265A-D2A1-05AB-084703FB9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106680</xdr:colOff>
      <xdr:row>6</xdr:row>
      <xdr:rowOff>7620</xdr:rowOff>
    </xdr:from>
    <xdr:to>
      <xdr:col>15</xdr:col>
      <xdr:colOff>411480</xdr:colOff>
      <xdr:row>21</xdr:row>
      <xdr:rowOff>7620</xdr:rowOff>
    </xdr:to>
    <xdr:graphicFrame macro="">
      <xdr:nvGraphicFramePr>
        <xdr:cNvPr id="3" name="Chart 2">
          <a:extLst>
            <a:ext uri="{FF2B5EF4-FFF2-40B4-BE49-F238E27FC236}">
              <a16:creationId xmlns:a16="http://schemas.microsoft.com/office/drawing/2014/main" id="{58B3AD89-CFD1-6810-6051-3E386E67F4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A08A0-EE11-4EDA-B77F-B1974CABBB69}">
  <sheetPr codeName="Sheet3"/>
  <dimension ref="A1:F13"/>
  <sheetViews>
    <sheetView workbookViewId="0">
      <selection activeCell="D14" sqref="D14"/>
    </sheetView>
  </sheetViews>
  <sheetFormatPr defaultRowHeight="14.4" x14ac:dyDescent="0.3"/>
  <cols>
    <col min="1" max="1" width="13.88671875" customWidth="1"/>
    <col min="2" max="2" width="23.109375" customWidth="1"/>
    <col min="3" max="3" width="16.77734375" customWidth="1"/>
    <col min="4" max="4" width="19.88671875" customWidth="1"/>
    <col min="5" max="5" width="16.44140625" customWidth="1"/>
    <col min="7" max="7" width="19.109375" customWidth="1"/>
  </cols>
  <sheetData>
    <row r="1" spans="1:6" x14ac:dyDescent="0.3">
      <c r="A1" s="1" t="s">
        <v>0</v>
      </c>
      <c r="B1" s="1" t="s">
        <v>1</v>
      </c>
      <c r="C1" s="1" t="s">
        <v>2</v>
      </c>
      <c r="D1" s="1" t="s">
        <v>3</v>
      </c>
      <c r="E1" s="1"/>
      <c r="F1" s="1" t="s">
        <v>4</v>
      </c>
    </row>
    <row r="2" spans="1:6" x14ac:dyDescent="0.3">
      <c r="A2">
        <v>4.2169299493007006</v>
      </c>
      <c r="B2">
        <v>1.8261985243768752</v>
      </c>
      <c r="C2">
        <v>0</v>
      </c>
      <c r="D2">
        <v>2.4198729126236698</v>
      </c>
      <c r="F2">
        <v>3</v>
      </c>
    </row>
    <row r="3" spans="1:6" x14ac:dyDescent="0.3">
      <c r="A3">
        <v>4.3116466451255491</v>
      </c>
      <c r="B3">
        <v>1.9239301160629998</v>
      </c>
      <c r="C3">
        <v>5</v>
      </c>
      <c r="D3">
        <v>2.4218052191220227</v>
      </c>
    </row>
    <row r="4" spans="1:6" x14ac:dyDescent="0.3">
      <c r="A4">
        <v>4.1913091261772921</v>
      </c>
      <c r="B4">
        <v>1.7893858317039866</v>
      </c>
      <c r="C4">
        <v>0</v>
      </c>
      <c r="D4">
        <v>2.3980322169907269</v>
      </c>
    </row>
    <row r="5" spans="1:6" x14ac:dyDescent="0.3">
      <c r="A5">
        <v>4.0715715559815902</v>
      </c>
      <c r="B5">
        <v>1.6847384109659465</v>
      </c>
      <c r="C5">
        <v>0</v>
      </c>
      <c r="D5">
        <v>2.3840830159114912</v>
      </c>
    </row>
    <row r="6" spans="1:6" x14ac:dyDescent="0.3">
      <c r="A6">
        <v>4.1209543349471183</v>
      </c>
      <c r="B6">
        <v>1.7131270120190807</v>
      </c>
      <c r="C6">
        <v>1</v>
      </c>
      <c r="D6">
        <v>2.3958136869997806</v>
      </c>
    </row>
    <row r="7" spans="1:6" x14ac:dyDescent="0.3">
      <c r="A7">
        <v>4.11883814718861</v>
      </c>
      <c r="B7">
        <v>1.7146993800517227</v>
      </c>
      <c r="C7">
        <v>2</v>
      </c>
      <c r="D7">
        <v>2.4059374902533537</v>
      </c>
    </row>
    <row r="8" spans="1:6" x14ac:dyDescent="0.3">
      <c r="A8">
        <v>4.134621859369588</v>
      </c>
      <c r="B8">
        <v>1.726481459998978</v>
      </c>
      <c r="C8">
        <v>0</v>
      </c>
      <c r="D8">
        <v>2.3960059274484298</v>
      </c>
    </row>
    <row r="9" spans="1:6" x14ac:dyDescent="0.3">
      <c r="A9">
        <v>4.1464250857401019</v>
      </c>
      <c r="B9">
        <v>1.7514441257973077</v>
      </c>
      <c r="C9">
        <v>1</v>
      </c>
      <c r="D9">
        <v>2.3863592084836518</v>
      </c>
    </row>
    <row r="10" spans="1:6" x14ac:dyDescent="0.3">
      <c r="A10">
        <v>4.1414964388383737</v>
      </c>
      <c r="B10">
        <v>1.7459651152297442</v>
      </c>
      <c r="C10">
        <v>0</v>
      </c>
      <c r="D10">
        <v>2.3974565406352566</v>
      </c>
    </row>
    <row r="11" spans="1:6" x14ac:dyDescent="0.3">
      <c r="A11">
        <v>4.1062473555722807</v>
      </c>
      <c r="B11">
        <v>1.6932113628203096</v>
      </c>
      <c r="C11">
        <v>0</v>
      </c>
      <c r="D11">
        <v>2.397502143482046</v>
      </c>
    </row>
    <row r="12" spans="1:6" x14ac:dyDescent="0.3">
      <c r="A12" t="s">
        <v>5</v>
      </c>
    </row>
    <row r="13" spans="1:6" x14ac:dyDescent="0.3">
      <c r="A13">
        <f>AVERAGE(A2:A11)</f>
        <v>4.1560040498241211</v>
      </c>
      <c r="B13">
        <f>AVERAGE(B2:B11)</f>
        <v>1.7569181339026951</v>
      </c>
      <c r="C13">
        <f t="shared" ref="C13" si="0">AVERAGE(C2:C11)</f>
        <v>0.9</v>
      </c>
      <c r="D13">
        <f>AVERAGE(D2:D11)/3</f>
        <v>0.80009561206501434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54E69-55F2-47C1-8C6E-5C0AF27CAC68}">
  <sheetPr codeName="Sheet2"/>
  <dimension ref="A1:F13"/>
  <sheetViews>
    <sheetView workbookViewId="0">
      <selection activeCell="D14" sqref="D14"/>
    </sheetView>
  </sheetViews>
  <sheetFormatPr defaultRowHeight="14.4" x14ac:dyDescent="0.3"/>
  <cols>
    <col min="1" max="1" width="13.88671875" customWidth="1"/>
    <col min="2" max="2" width="23.109375" customWidth="1"/>
    <col min="3" max="3" width="16.77734375" customWidth="1"/>
    <col min="4" max="4" width="19.88671875" customWidth="1"/>
    <col min="5" max="5" width="16.44140625" customWidth="1"/>
    <col min="7" max="7" width="19.109375" customWidth="1"/>
  </cols>
  <sheetData>
    <row r="1" spans="1:6" x14ac:dyDescent="0.3">
      <c r="A1" s="1" t="s">
        <v>0</v>
      </c>
      <c r="B1" s="1" t="s">
        <v>1</v>
      </c>
      <c r="C1" s="1" t="s">
        <v>2</v>
      </c>
      <c r="D1" s="1" t="s">
        <v>3</v>
      </c>
      <c r="E1" s="1"/>
      <c r="F1" s="1" t="s">
        <v>4</v>
      </c>
    </row>
    <row r="2" spans="1:6" x14ac:dyDescent="0.3">
      <c r="A2">
        <v>3.5851743108968024</v>
      </c>
      <c r="B2">
        <v>1.996705175417834</v>
      </c>
      <c r="C2">
        <v>0</v>
      </c>
      <c r="D2">
        <v>1.613269113271895</v>
      </c>
      <c r="F2">
        <v>2</v>
      </c>
    </row>
    <row r="3" spans="1:6" x14ac:dyDescent="0.3">
      <c r="A3">
        <v>3.6799809300062192</v>
      </c>
      <c r="B3">
        <v>2.0945717311271674</v>
      </c>
      <c r="C3">
        <v>6</v>
      </c>
      <c r="D3">
        <v>1.6145456297319667</v>
      </c>
    </row>
    <row r="4" spans="1:6" x14ac:dyDescent="0.3">
      <c r="A4">
        <v>3.5395922252590162</v>
      </c>
      <c r="B4">
        <v>1.9376394427544275</v>
      </c>
      <c r="C4">
        <v>0</v>
      </c>
      <c r="D4">
        <v>1.5987069185403711</v>
      </c>
    </row>
    <row r="5" spans="1:6" x14ac:dyDescent="0.3">
      <c r="A5">
        <v>3.4346343874468972</v>
      </c>
      <c r="B5">
        <v>1.8428933041840891</v>
      </c>
      <c r="C5">
        <v>0</v>
      </c>
      <c r="D5">
        <v>1.5893892489882877</v>
      </c>
    </row>
    <row r="6" spans="1:6" x14ac:dyDescent="0.3">
      <c r="A6">
        <v>3.4829162474262612</v>
      </c>
      <c r="B6">
        <v>1.8755597801461674</v>
      </c>
      <c r="C6">
        <v>1</v>
      </c>
      <c r="D6">
        <v>1.5972244993241347</v>
      </c>
    </row>
    <row r="7" spans="1:6" x14ac:dyDescent="0.3">
      <c r="A7">
        <v>3.4836660709197456</v>
      </c>
      <c r="B7">
        <v>1.8812319065712384</v>
      </c>
      <c r="C7">
        <v>2</v>
      </c>
      <c r="D7">
        <v>1.6039715015681146</v>
      </c>
    </row>
    <row r="8" spans="1:6" x14ac:dyDescent="0.3">
      <c r="A8">
        <v>3.5007000011552818</v>
      </c>
      <c r="B8">
        <v>1.8930680383019827</v>
      </c>
      <c r="C8">
        <v>0</v>
      </c>
      <c r="D8">
        <v>1.597348041524973</v>
      </c>
    </row>
    <row r="9" spans="1:6" x14ac:dyDescent="0.3">
      <c r="A9">
        <v>3.4994361460844803</v>
      </c>
      <c r="B9">
        <v>1.9012439632711282</v>
      </c>
      <c r="C9">
        <v>3</v>
      </c>
      <c r="D9">
        <v>1.5908828077261443</v>
      </c>
    </row>
    <row r="10" spans="1:6" x14ac:dyDescent="0.3">
      <c r="A10">
        <v>3.503383230472946</v>
      </c>
      <c r="B10">
        <v>1.9066582858771428</v>
      </c>
      <c r="C10">
        <v>0</v>
      </c>
      <c r="D10">
        <v>1.598303078017633</v>
      </c>
    </row>
    <row r="11" spans="1:6" x14ac:dyDescent="0.3">
      <c r="A11">
        <v>3.4585615664394975</v>
      </c>
      <c r="B11">
        <v>1.847086695416043</v>
      </c>
      <c r="C11">
        <v>0</v>
      </c>
      <c r="D11">
        <v>1.5983230740939489</v>
      </c>
    </row>
    <row r="12" spans="1:6" x14ac:dyDescent="0.3">
      <c r="A12" t="s">
        <v>5</v>
      </c>
    </row>
    <row r="13" spans="1:6" x14ac:dyDescent="0.3">
      <c r="A13">
        <f>AVERAGE(A2:A11)</f>
        <v>3.5168045116107143</v>
      </c>
      <c r="B13">
        <f>AVERAGE(B2:B11)</f>
        <v>1.9176658323067222</v>
      </c>
      <c r="C13">
        <f t="shared" ref="C13" si="0">AVERAGE(C2:C11)</f>
        <v>1.2</v>
      </c>
      <c r="D13">
        <f>AVERAGE(D2:D11)/2</f>
        <v>0.80009819563937357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EB12B-BE41-416F-AC90-B8CA8C54E695}">
  <sheetPr codeName="Sheet4"/>
  <dimension ref="A1:F13"/>
  <sheetViews>
    <sheetView workbookViewId="0">
      <selection activeCell="C23" sqref="C23"/>
    </sheetView>
  </sheetViews>
  <sheetFormatPr defaultRowHeight="14.4" x14ac:dyDescent="0.3"/>
  <cols>
    <col min="1" max="1" width="13.88671875" customWidth="1"/>
    <col min="2" max="2" width="23.109375" customWidth="1"/>
    <col min="3" max="3" width="16.77734375" customWidth="1"/>
    <col min="4" max="4" width="19.88671875" customWidth="1"/>
    <col min="5" max="5" width="16.44140625" customWidth="1"/>
    <col min="7" max="7" width="19.109375" customWidth="1"/>
  </cols>
  <sheetData>
    <row r="1" spans="1:6" x14ac:dyDescent="0.3">
      <c r="A1" s="1" t="s">
        <v>0</v>
      </c>
      <c r="B1" s="1" t="s">
        <v>1</v>
      </c>
      <c r="C1" s="1" t="s">
        <v>2</v>
      </c>
      <c r="D1" s="1" t="s">
        <v>3</v>
      </c>
      <c r="E1" s="1"/>
      <c r="F1" s="1" t="s">
        <v>4</v>
      </c>
    </row>
    <row r="2" spans="1:6" x14ac:dyDescent="0.3">
      <c r="A2">
        <v>2.9966825424191614</v>
      </c>
      <c r="B2">
        <v>2.2107686274470111</v>
      </c>
      <c r="C2">
        <v>0</v>
      </c>
      <c r="D2">
        <v>0.80665482251239151</v>
      </c>
      <c r="F2">
        <v>1</v>
      </c>
    </row>
    <row r="3" spans="1:6" x14ac:dyDescent="0.3">
      <c r="A3">
        <v>3.1031558417457448</v>
      </c>
      <c r="B3">
        <v>2.3204966105653244</v>
      </c>
      <c r="C3">
        <v>6</v>
      </c>
      <c r="D3">
        <v>0.80727653893311446</v>
      </c>
    </row>
    <row r="4" spans="1:6" x14ac:dyDescent="0.3">
      <c r="A4">
        <v>2.9510686069643866</v>
      </c>
      <c r="B4">
        <v>2.1490113227635503</v>
      </c>
      <c r="C4">
        <v>1</v>
      </c>
      <c r="D4">
        <v>0.79934109149308508</v>
      </c>
    </row>
    <row r="5" spans="1:6" x14ac:dyDescent="0.3">
      <c r="A5">
        <v>2.8485474968696325</v>
      </c>
      <c r="B5">
        <v>2.0519711885464966</v>
      </c>
      <c r="C5">
        <v>0</v>
      </c>
      <c r="D5">
        <v>0.79470190816952502</v>
      </c>
    </row>
    <row r="6" spans="1:6" x14ac:dyDescent="0.3">
      <c r="A6">
        <v>2.9089135718263672</v>
      </c>
      <c r="B6">
        <v>2.1018218152407186</v>
      </c>
      <c r="C6">
        <v>1</v>
      </c>
      <c r="D6">
        <v>0.79861561712610007</v>
      </c>
    </row>
    <row r="7" spans="1:6" x14ac:dyDescent="0.3">
      <c r="A7">
        <v>2.8956226478861189</v>
      </c>
      <c r="B7">
        <v>2.0949176332139903</v>
      </c>
      <c r="C7">
        <v>2</v>
      </c>
      <c r="D7">
        <v>0.80198300142701251</v>
      </c>
    </row>
    <row r="8" spans="1:6" x14ac:dyDescent="0.3">
      <c r="A8">
        <v>2.9097776492320602</v>
      </c>
      <c r="B8">
        <v>2.102561044193973</v>
      </c>
      <c r="C8">
        <v>0</v>
      </c>
      <c r="D8">
        <v>0.79865867820954672</v>
      </c>
    </row>
    <row r="9" spans="1:6" x14ac:dyDescent="0.3">
      <c r="A9">
        <v>2.9146662973896493</v>
      </c>
      <c r="B9">
        <v>2.1131714604942839</v>
      </c>
      <c r="C9">
        <v>3</v>
      </c>
      <c r="D9">
        <v>0.79544065834328592</v>
      </c>
    </row>
    <row r="10" spans="1:6" x14ac:dyDescent="0.3">
      <c r="A10">
        <v>2.9221937619163394</v>
      </c>
      <c r="B10">
        <v>2.1243785711770995</v>
      </c>
      <c r="C10">
        <v>0</v>
      </c>
      <c r="D10">
        <v>0.79915701675328765</v>
      </c>
    </row>
    <row r="11" spans="1:6" x14ac:dyDescent="0.3">
      <c r="A11">
        <v>2.8731483111055716</v>
      </c>
      <c r="B11">
        <v>2.0630291944732679</v>
      </c>
      <c r="C11">
        <v>0</v>
      </c>
      <c r="D11">
        <v>0.79914369008388153</v>
      </c>
    </row>
    <row r="12" spans="1:6" x14ac:dyDescent="0.3">
      <c r="A12" t="s">
        <v>5</v>
      </c>
    </row>
    <row r="13" spans="1:6" x14ac:dyDescent="0.3">
      <c r="A13">
        <f>AVERAGE(A2:A11)</f>
        <v>2.9323776727355026</v>
      </c>
      <c r="B13">
        <f>AVERAGE(B2:B11)</f>
        <v>2.1332127468115716</v>
      </c>
      <c r="C13">
        <f t="shared" ref="C13" si="0">AVERAGE(C2:C11)</f>
        <v>1.3</v>
      </c>
      <c r="D13">
        <f>AVERAGE(D2:D11)</f>
        <v>0.80009730230512299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7181-6567-4805-878E-65CF00AD6A71}">
  <sheetPr codeName="Sheet1"/>
  <dimension ref="A1:F13"/>
  <sheetViews>
    <sheetView workbookViewId="0">
      <selection activeCell="F2" sqref="F2"/>
    </sheetView>
  </sheetViews>
  <sheetFormatPr defaultRowHeight="14.4" x14ac:dyDescent="0.3"/>
  <cols>
    <col min="1" max="1" width="13.88671875" customWidth="1"/>
    <col min="2" max="2" width="23.109375" customWidth="1"/>
    <col min="3" max="3" width="16.77734375" customWidth="1"/>
    <col min="4" max="4" width="19.88671875" customWidth="1"/>
    <col min="5" max="5" width="16.44140625" customWidth="1"/>
    <col min="7" max="7" width="19.109375" customWidth="1"/>
  </cols>
  <sheetData>
    <row r="1" spans="1:6" x14ac:dyDescent="0.3">
      <c r="A1" s="1" t="s">
        <v>0</v>
      </c>
      <c r="B1" s="1" t="s">
        <v>1</v>
      </c>
      <c r="C1" s="1" t="s">
        <v>2</v>
      </c>
      <c r="D1" s="1" t="s">
        <v>3</v>
      </c>
      <c r="E1" s="1"/>
      <c r="F1" s="1" t="s">
        <v>4</v>
      </c>
    </row>
    <row r="2" spans="1:6" x14ac:dyDescent="0.3">
      <c r="A2">
        <v>5.5831327949436114</v>
      </c>
      <c r="B2">
        <v>1.5885612965200555</v>
      </c>
      <c r="C2">
        <v>1</v>
      </c>
      <c r="D2">
        <v>0.80662361319589926</v>
      </c>
      <c r="F2">
        <v>5</v>
      </c>
    </row>
    <row r="3" spans="1:6" x14ac:dyDescent="0.3">
      <c r="A3">
        <v>5.6647889235008284</v>
      </c>
      <c r="B3">
        <v>1.6731348922660279</v>
      </c>
      <c r="C3">
        <v>4</v>
      </c>
      <c r="D3">
        <v>0.80727130409913972</v>
      </c>
    </row>
    <row r="4" spans="1:6" x14ac:dyDescent="0.3">
      <c r="A4">
        <v>5.5552359687052491</v>
      </c>
      <c r="B4">
        <v>1.5532920066432265</v>
      </c>
      <c r="C4">
        <v>0</v>
      </c>
      <c r="D4">
        <v>0.79936415446690945</v>
      </c>
    </row>
    <row r="5" spans="1:6" x14ac:dyDescent="0.3">
      <c r="A5">
        <v>5.4238647583047239</v>
      </c>
      <c r="B5">
        <v>1.4467137306935549</v>
      </c>
      <c r="C5">
        <v>0</v>
      </c>
      <c r="D5">
        <v>0.79470182215382379</v>
      </c>
    </row>
    <row r="6" spans="1:6" x14ac:dyDescent="0.3">
      <c r="A6">
        <v>5.4967837337838503</v>
      </c>
      <c r="B6">
        <v>1.4878600884399236</v>
      </c>
      <c r="C6">
        <v>1</v>
      </c>
      <c r="D6">
        <v>0.79860160773507693</v>
      </c>
    </row>
    <row r="7" spans="1:6" x14ac:dyDescent="0.3">
      <c r="A7">
        <v>5.4847909926819209</v>
      </c>
      <c r="B7">
        <v>1.4772839082091673</v>
      </c>
      <c r="C7">
        <v>0</v>
      </c>
      <c r="D7">
        <v>0.8019813653682577</v>
      </c>
    </row>
    <row r="8" spans="1:6" x14ac:dyDescent="0.3">
      <c r="A8">
        <v>5.503677812096873</v>
      </c>
      <c r="B8">
        <v>1.4942490852768455</v>
      </c>
      <c r="C8">
        <v>0</v>
      </c>
      <c r="D8">
        <v>0.79867531433908434</v>
      </c>
    </row>
    <row r="9" spans="1:6" x14ac:dyDescent="0.3">
      <c r="A9">
        <v>5.5158053899350321</v>
      </c>
      <c r="B9">
        <v>1.5271084419533818</v>
      </c>
      <c r="C9">
        <v>1</v>
      </c>
      <c r="D9">
        <v>0.79546155600305324</v>
      </c>
    </row>
    <row r="10" spans="1:6" x14ac:dyDescent="0.3">
      <c r="A10">
        <v>5.4974442866048925</v>
      </c>
      <c r="B10">
        <v>1.5042576777820773</v>
      </c>
      <c r="C10">
        <v>0</v>
      </c>
      <c r="D10">
        <v>0.79914625113817039</v>
      </c>
    </row>
    <row r="11" spans="1:6" x14ac:dyDescent="0.3">
      <c r="A11">
        <v>5.4684736944120473</v>
      </c>
      <c r="B11">
        <v>1.4519616288611217</v>
      </c>
      <c r="C11">
        <v>0</v>
      </c>
      <c r="D11">
        <v>0.79917296989230668</v>
      </c>
    </row>
    <row r="12" spans="1:6" x14ac:dyDescent="0.3">
      <c r="A12" s="1" t="s">
        <v>5</v>
      </c>
    </row>
    <row r="13" spans="1:6" x14ac:dyDescent="0.3">
      <c r="A13">
        <f>AVERAGE(A2:A11)</f>
        <v>5.5193998354969036</v>
      </c>
      <c r="B13">
        <f>AVERAGE(B2:B11)</f>
        <v>1.5204422756645379</v>
      </c>
      <c r="C13">
        <f t="shared" ref="C13" si="0">AVERAGE(C2:C11)</f>
        <v>0.7</v>
      </c>
      <c r="D13">
        <f>AVERAGE(D2:D11)</f>
        <v>0.80009999583917213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FAA28-E79C-4CB8-AB18-A60046D57C3A}">
  <sheetPr codeName="Sheet5"/>
  <dimension ref="A1:E5"/>
  <sheetViews>
    <sheetView workbookViewId="0">
      <selection activeCell="A6" sqref="A6"/>
    </sheetView>
  </sheetViews>
  <sheetFormatPr defaultRowHeight="14.4" x14ac:dyDescent="0.3"/>
  <sheetData>
    <row r="1" spans="1:5" x14ac:dyDescent="0.3">
      <c r="A1" t="s">
        <v>6</v>
      </c>
    </row>
    <row r="2" spans="1:5" x14ac:dyDescent="0.3">
      <c r="A2">
        <v>1</v>
      </c>
      <c r="B2">
        <v>2.9323776727355026</v>
      </c>
      <c r="C2">
        <v>2.1332127468115716</v>
      </c>
      <c r="D2">
        <v>1.3</v>
      </c>
      <c r="E2">
        <v>0.80009730230512299</v>
      </c>
    </row>
    <row r="3" spans="1:5" x14ac:dyDescent="0.3">
      <c r="A3">
        <v>2</v>
      </c>
      <c r="B3">
        <v>3.5168045116107143</v>
      </c>
      <c r="C3">
        <v>1.9176658323067222</v>
      </c>
      <c r="D3">
        <v>1.2</v>
      </c>
      <c r="E3">
        <f>1.60019639127875/2</f>
        <v>0.80009819563937501</v>
      </c>
    </row>
    <row r="4" spans="1:5" x14ac:dyDescent="0.3">
      <c r="A4">
        <v>3</v>
      </c>
      <c r="B4">
        <v>4.1560040498241211</v>
      </c>
      <c r="C4">
        <v>1.7569181339026951</v>
      </c>
      <c r="D4">
        <v>0.9</v>
      </c>
      <c r="E4">
        <f>2.40028683619504/3</f>
        <v>0.80009561206501323</v>
      </c>
    </row>
    <row r="5" spans="1:5" x14ac:dyDescent="0.3">
      <c r="A5" t="s">
        <v>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EF15A-426D-4847-846D-D434306990B7}">
  <sheetPr codeName="Sheet6"/>
  <dimension ref="A1:N36"/>
  <sheetViews>
    <sheetView tabSelected="1" workbookViewId="0">
      <selection activeCell="G10" sqref="G10"/>
    </sheetView>
  </sheetViews>
  <sheetFormatPr defaultRowHeight="14.4" x14ac:dyDescent="0.3"/>
  <cols>
    <col min="1" max="1" width="15" customWidth="1"/>
    <col min="2" max="2" width="14.44140625" customWidth="1"/>
    <col min="3" max="3" width="29.44140625" customWidth="1"/>
    <col min="4" max="4" width="16.109375" customWidth="1"/>
    <col min="5" max="5" width="18.21875" customWidth="1"/>
    <col min="11" max="11" width="13.77734375" customWidth="1"/>
    <col min="12" max="12" width="16.44140625" customWidth="1"/>
    <col min="13" max="13" width="14" customWidth="1"/>
    <col min="14" max="14" width="12.77734375" customWidth="1"/>
  </cols>
  <sheetData>
    <row r="1" spans="1:14" x14ac:dyDescent="0.3">
      <c r="A1" s="1" t="s">
        <v>0</v>
      </c>
      <c r="B1" s="1" t="s">
        <v>1</v>
      </c>
      <c r="C1" s="1" t="s">
        <v>2</v>
      </c>
      <c r="D1" s="1" t="s">
        <v>3</v>
      </c>
      <c r="E1" s="1" t="s">
        <v>15</v>
      </c>
      <c r="J1" s="5" t="s">
        <v>8</v>
      </c>
      <c r="K1" s="6"/>
      <c r="L1" s="6"/>
      <c r="M1" s="6"/>
      <c r="N1" s="7"/>
    </row>
    <row r="2" spans="1:14" x14ac:dyDescent="0.3">
      <c r="A2">
        <v>13.632177737485542</v>
      </c>
      <c r="B2">
        <v>1.4477391425125687</v>
      </c>
      <c r="C2">
        <v>1</v>
      </c>
      <c r="D2">
        <v>0.77147062596631366</v>
      </c>
      <c r="E2">
        <v>0.08</v>
      </c>
      <c r="J2" s="8" t="s">
        <v>9</v>
      </c>
      <c r="K2" s="2"/>
      <c r="L2" s="2"/>
      <c r="M2" s="2">
        <v>480</v>
      </c>
      <c r="N2" s="14"/>
    </row>
    <row r="3" spans="1:14" x14ac:dyDescent="0.3">
      <c r="A3">
        <v>17.825766577559051</v>
      </c>
      <c r="B3">
        <v>1.8484779514029857</v>
      </c>
      <c r="C3">
        <v>3</v>
      </c>
      <c r="D3">
        <v>0.85950945347352703</v>
      </c>
      <c r="E3">
        <v>1.9230769230769232E-2</v>
      </c>
      <c r="J3" s="8" t="s">
        <v>14</v>
      </c>
      <c r="K3" s="2"/>
      <c r="L3" s="2" t="s">
        <v>12</v>
      </c>
      <c r="M3" s="2">
        <v>5</v>
      </c>
      <c r="N3" s="14">
        <v>12</v>
      </c>
    </row>
    <row r="4" spans="1:14" x14ac:dyDescent="0.3">
      <c r="A4">
        <v>11.849498103491024</v>
      </c>
      <c r="B4">
        <v>1.0688808435314607</v>
      </c>
      <c r="C4">
        <v>0</v>
      </c>
      <c r="D4">
        <v>0.65700177279253347</v>
      </c>
      <c r="E4">
        <v>0</v>
      </c>
      <c r="J4" s="8" t="s">
        <v>10</v>
      </c>
      <c r="K4" s="2"/>
      <c r="L4" s="2" t="s">
        <v>11</v>
      </c>
      <c r="M4" s="2">
        <v>1</v>
      </c>
      <c r="N4" s="14"/>
    </row>
    <row r="5" spans="1:14" x14ac:dyDescent="0.3">
      <c r="A5">
        <v>13.186408829001872</v>
      </c>
      <c r="B5">
        <v>1.3923585820528395</v>
      </c>
      <c r="C5">
        <v>1</v>
      </c>
      <c r="D5">
        <v>0.74004044431596228</v>
      </c>
      <c r="E5">
        <v>1.8867924528301886E-2</v>
      </c>
      <c r="J5" s="8" t="s">
        <v>13</v>
      </c>
      <c r="K5" s="2"/>
      <c r="L5" s="2"/>
      <c r="M5" s="2">
        <v>5</v>
      </c>
      <c r="N5" s="14"/>
    </row>
    <row r="6" spans="1:14" ht="15" thickBot="1" x14ac:dyDescent="0.35">
      <c r="A6">
        <v>12.209679597727497</v>
      </c>
      <c r="B6">
        <v>0.93842703122208582</v>
      </c>
      <c r="C6">
        <v>2</v>
      </c>
      <c r="D6">
        <v>0.56694628068833164</v>
      </c>
      <c r="E6">
        <v>0</v>
      </c>
      <c r="J6" s="10"/>
      <c r="K6" s="15"/>
      <c r="L6" s="15"/>
      <c r="M6" s="15"/>
      <c r="N6" s="16"/>
    </row>
    <row r="7" spans="1:14" ht="15" thickBot="1" x14ac:dyDescent="0.35">
      <c r="A7">
        <v>15.575795602760145</v>
      </c>
      <c r="B7">
        <v>1.5721736841557701</v>
      </c>
      <c r="C7">
        <v>4</v>
      </c>
      <c r="D7">
        <v>0.78817090871469853</v>
      </c>
      <c r="E7">
        <v>0</v>
      </c>
    </row>
    <row r="8" spans="1:14" x14ac:dyDescent="0.3">
      <c r="A8">
        <v>14.184984821769595</v>
      </c>
      <c r="B8">
        <v>1.2401553993445793</v>
      </c>
      <c r="C8">
        <v>0</v>
      </c>
      <c r="D8">
        <v>0.73729177376814004</v>
      </c>
      <c r="E8">
        <v>0</v>
      </c>
      <c r="J8" s="5" t="s">
        <v>16</v>
      </c>
      <c r="K8" s="6" t="s">
        <v>19</v>
      </c>
      <c r="L8" s="6" t="s">
        <v>3</v>
      </c>
      <c r="M8" s="6" t="s">
        <v>22</v>
      </c>
      <c r="N8" s="7" t="s">
        <v>0</v>
      </c>
    </row>
    <row r="9" spans="1:14" x14ac:dyDescent="0.3">
      <c r="A9">
        <v>12.996121330126631</v>
      </c>
      <c r="B9">
        <v>1.1309596969718139</v>
      </c>
      <c r="C9">
        <v>4</v>
      </c>
      <c r="D9">
        <v>0.70534711459474597</v>
      </c>
      <c r="E9">
        <v>0</v>
      </c>
      <c r="J9" s="8" t="s">
        <v>17</v>
      </c>
      <c r="K9" s="3">
        <f>AVERAGE(E2:E36)</f>
        <v>1.7997476834078752E-2</v>
      </c>
      <c r="L9" s="3">
        <f>AVERAGE(D2:D36)</f>
        <v>0.73284318757210032</v>
      </c>
      <c r="M9" s="4">
        <f>AVERAGE(B2:B36)</f>
        <v>1.4298106551074563</v>
      </c>
      <c r="N9" s="9">
        <f>AVERAGE(A2:A36)</f>
        <v>15.052028156709945</v>
      </c>
    </row>
    <row r="10" spans="1:14" x14ac:dyDescent="0.3">
      <c r="A10">
        <v>17.393598116593239</v>
      </c>
      <c r="B10">
        <v>1.5506020909953391</v>
      </c>
      <c r="C10">
        <v>1</v>
      </c>
      <c r="D10">
        <v>0.73027512216699397</v>
      </c>
      <c r="E10">
        <v>0</v>
      </c>
      <c r="J10" s="8" t="s">
        <v>18</v>
      </c>
      <c r="K10" s="3">
        <f>_xlfn.STDEV.S(E2:E36)</f>
        <v>3.2664431915172779E-2</v>
      </c>
      <c r="L10" s="3">
        <f>_xlfn.STDEV.S(D2:D36)</f>
        <v>9.7667982133120293E-2</v>
      </c>
      <c r="M10" s="4">
        <f>_xlfn.STDEV.S(B2:B36)</f>
        <v>0.40895566097501235</v>
      </c>
      <c r="N10" s="9">
        <f>_xlfn.STDEV.S(A2:A36)</f>
        <v>2.6779659757072487</v>
      </c>
    </row>
    <row r="11" spans="1:14" x14ac:dyDescent="0.3">
      <c r="A11">
        <v>19.486729865957894</v>
      </c>
      <c r="B11">
        <v>2.2237634632209557</v>
      </c>
      <c r="C11">
        <v>1</v>
      </c>
      <c r="D11">
        <v>0.88715498855519603</v>
      </c>
      <c r="E11">
        <v>5.3571428571428568E-2</v>
      </c>
      <c r="J11" s="8" t="s">
        <v>20</v>
      </c>
      <c r="K11" s="3">
        <f>K9+_xlfn.CONFIDENCE.NORM(0.05,K10,35)</f>
        <v>2.8819019557705904E-2</v>
      </c>
      <c r="L11" s="3">
        <f>L9+_xlfn.CONFIDENCE.NORM(0.05,L10,35)</f>
        <v>0.7652000411714146</v>
      </c>
      <c r="M11" s="4">
        <f>M9+_xlfn.CONFIDENCE.NORM(0.05,M10,35)</f>
        <v>1.5652953673107197</v>
      </c>
      <c r="N11" s="9">
        <f>N9+_xlfn.CONFIDENCE.NORM(0.05,N10,35)</f>
        <v>15.939223234640403</v>
      </c>
    </row>
    <row r="12" spans="1:14" ht="15" thickBot="1" x14ac:dyDescent="0.35">
      <c r="A12">
        <v>16.630243791332326</v>
      </c>
      <c r="B12">
        <v>1.2349000422025707</v>
      </c>
      <c r="C12">
        <v>2</v>
      </c>
      <c r="D12">
        <v>0.66619485632954822</v>
      </c>
      <c r="E12">
        <v>0</v>
      </c>
      <c r="J12" s="10" t="s">
        <v>21</v>
      </c>
      <c r="K12" s="11">
        <f>K9-_xlfn.CONFIDENCE.NORM(0.05,K10,35)</f>
        <v>7.1759341104516029E-3</v>
      </c>
      <c r="L12" s="11">
        <f>L9-_xlfn.CONFIDENCE.NORM(0.05,L10,35)</f>
        <v>0.70048633397278603</v>
      </c>
      <c r="M12" s="12">
        <f>M9-_xlfn.CONFIDENCE.NORM(0.05,M10,35)</f>
        <v>1.2943259429041929</v>
      </c>
      <c r="N12" s="13">
        <f>N9-_xlfn.CONFIDENCE.NORM(0.05,N10,35)</f>
        <v>14.164833078779486</v>
      </c>
    </row>
    <row r="13" spans="1:14" x14ac:dyDescent="0.3">
      <c r="A13">
        <v>13.17097767882179</v>
      </c>
      <c r="B13">
        <v>0.90228928821776233</v>
      </c>
      <c r="C13">
        <v>2</v>
      </c>
      <c r="D13">
        <v>0.61378559741897876</v>
      </c>
      <c r="E13">
        <v>0</v>
      </c>
    </row>
    <row r="14" spans="1:14" x14ac:dyDescent="0.3">
      <c r="A14">
        <v>16.720085719384684</v>
      </c>
      <c r="B14">
        <v>1.6157788212617417</v>
      </c>
      <c r="C14">
        <v>3</v>
      </c>
      <c r="D14">
        <v>0.72574250184789291</v>
      </c>
      <c r="E14">
        <v>0</v>
      </c>
      <c r="I14" t="s">
        <v>23</v>
      </c>
    </row>
    <row r="15" spans="1:14" x14ac:dyDescent="0.3">
      <c r="A15">
        <v>14.245878235309007</v>
      </c>
      <c r="B15">
        <v>1.3819626928312925</v>
      </c>
      <c r="C15">
        <v>1</v>
      </c>
      <c r="D15">
        <v>0.78395844292749584</v>
      </c>
      <c r="E15">
        <v>0</v>
      </c>
      <c r="I15" t="s">
        <v>24</v>
      </c>
    </row>
    <row r="16" spans="1:14" x14ac:dyDescent="0.3">
      <c r="A16">
        <v>14.560738887565838</v>
      </c>
      <c r="B16">
        <v>1.3487662845987869</v>
      </c>
      <c r="C16">
        <v>4</v>
      </c>
      <c r="D16">
        <v>0.72227450392986714</v>
      </c>
      <c r="E16">
        <v>0</v>
      </c>
    </row>
    <row r="17" spans="1:5" x14ac:dyDescent="0.3">
      <c r="A17">
        <v>17.423049068181275</v>
      </c>
      <c r="B17">
        <v>1.7272097692741035</v>
      </c>
      <c r="C17">
        <v>2</v>
      </c>
      <c r="D17">
        <v>0.76373106784267308</v>
      </c>
      <c r="E17">
        <v>0.04</v>
      </c>
    </row>
    <row r="18" spans="1:5" x14ac:dyDescent="0.3">
      <c r="A18">
        <v>16.347325957351813</v>
      </c>
      <c r="B18">
        <v>1.6432995481090951</v>
      </c>
      <c r="C18">
        <v>2</v>
      </c>
      <c r="D18">
        <v>0.78172855056546531</v>
      </c>
      <c r="E18">
        <v>0.02</v>
      </c>
    </row>
    <row r="19" spans="1:5" x14ac:dyDescent="0.3">
      <c r="A19">
        <v>11.74072733795564</v>
      </c>
      <c r="B19">
        <v>0.9126930079808423</v>
      </c>
      <c r="C19">
        <v>2</v>
      </c>
      <c r="D19">
        <v>0.59493641811859777</v>
      </c>
      <c r="E19">
        <v>0</v>
      </c>
    </row>
    <row r="20" spans="1:5" x14ac:dyDescent="0.3">
      <c r="A20">
        <v>15.451084861868214</v>
      </c>
      <c r="B20">
        <v>1.4043748552788926</v>
      </c>
      <c r="C20">
        <v>2</v>
      </c>
      <c r="D20">
        <v>0.73884527624104168</v>
      </c>
      <c r="E20">
        <v>4.4444444444444446E-2</v>
      </c>
    </row>
    <row r="21" spans="1:5" x14ac:dyDescent="0.3">
      <c r="A21">
        <v>15.099610280492676</v>
      </c>
      <c r="B21">
        <v>1.6027836041769943</v>
      </c>
      <c r="C21">
        <v>3</v>
      </c>
      <c r="D21">
        <v>0.82852910053000639</v>
      </c>
      <c r="E21">
        <v>0.02</v>
      </c>
    </row>
    <row r="22" spans="1:5" x14ac:dyDescent="0.3">
      <c r="A22">
        <v>15.409980270065446</v>
      </c>
      <c r="B22">
        <v>1.2636056662709045</v>
      </c>
      <c r="C22">
        <v>2</v>
      </c>
      <c r="D22">
        <v>0.72773475813191335</v>
      </c>
      <c r="E22">
        <v>0</v>
      </c>
    </row>
    <row r="23" spans="1:5" x14ac:dyDescent="0.3">
      <c r="A23">
        <v>16.040727754361786</v>
      </c>
      <c r="B23">
        <v>1.9294890703074794</v>
      </c>
      <c r="C23">
        <v>4</v>
      </c>
      <c r="D23">
        <v>0.78635033378501962</v>
      </c>
      <c r="E23">
        <v>0.15517241379310345</v>
      </c>
    </row>
    <row r="24" spans="1:5" x14ac:dyDescent="0.3">
      <c r="A24">
        <v>14.666021769769946</v>
      </c>
      <c r="B24">
        <v>1.2225037965676455</v>
      </c>
      <c r="C24">
        <v>3</v>
      </c>
      <c r="D24">
        <v>0.72610255126083678</v>
      </c>
      <c r="E24">
        <v>0</v>
      </c>
    </row>
    <row r="25" spans="1:5" x14ac:dyDescent="0.3">
      <c r="A25">
        <v>16.624582738340365</v>
      </c>
      <c r="B25">
        <v>1.6856497025020314</v>
      </c>
      <c r="C25">
        <v>1</v>
      </c>
      <c r="D25">
        <v>0.83488426977622188</v>
      </c>
      <c r="E25">
        <v>0</v>
      </c>
    </row>
    <row r="26" spans="1:5" x14ac:dyDescent="0.3">
      <c r="A26">
        <v>15.365928026969733</v>
      </c>
      <c r="B26">
        <v>1.6959666074490569</v>
      </c>
      <c r="C26">
        <v>2</v>
      </c>
      <c r="D26">
        <v>0.77489370205828112</v>
      </c>
      <c r="E26">
        <v>1.9230769230769232E-2</v>
      </c>
    </row>
    <row r="27" spans="1:5" x14ac:dyDescent="0.3">
      <c r="A27">
        <v>22.03144779952255</v>
      </c>
      <c r="B27">
        <v>2.2811374288635085</v>
      </c>
      <c r="C27">
        <v>1</v>
      </c>
      <c r="D27">
        <v>0.80350037217203196</v>
      </c>
      <c r="E27">
        <v>0.08</v>
      </c>
    </row>
    <row r="28" spans="1:5" x14ac:dyDescent="0.3">
      <c r="A28">
        <v>19.577528212359123</v>
      </c>
      <c r="B28">
        <v>2.3679234612712241</v>
      </c>
      <c r="C28">
        <v>0</v>
      </c>
      <c r="D28">
        <v>0.92267066901615979</v>
      </c>
      <c r="E28">
        <v>1.6666666666666666E-2</v>
      </c>
    </row>
    <row r="29" spans="1:5" x14ac:dyDescent="0.3">
      <c r="A29">
        <v>9.4610339923789049</v>
      </c>
      <c r="B29">
        <v>0.63117275881959933</v>
      </c>
      <c r="C29">
        <v>0</v>
      </c>
      <c r="D29">
        <v>0.49610767240325609</v>
      </c>
      <c r="E29">
        <v>0</v>
      </c>
    </row>
    <row r="30" spans="1:5" x14ac:dyDescent="0.3">
      <c r="A30">
        <v>10.986528410690646</v>
      </c>
      <c r="B30">
        <v>0.95459510371944278</v>
      </c>
      <c r="C30">
        <v>2</v>
      </c>
      <c r="D30">
        <v>0.64381226681236037</v>
      </c>
      <c r="E30">
        <v>0</v>
      </c>
    </row>
    <row r="31" spans="1:5" x14ac:dyDescent="0.3">
      <c r="A31">
        <v>13.782101817918194</v>
      </c>
      <c r="B31">
        <v>1.4288173970323224</v>
      </c>
      <c r="C31">
        <v>4</v>
      </c>
      <c r="D31">
        <v>0.74756748193235201</v>
      </c>
      <c r="E31">
        <v>0.04</v>
      </c>
    </row>
    <row r="32" spans="1:5" x14ac:dyDescent="0.3">
      <c r="A32">
        <v>15.769248399619515</v>
      </c>
      <c r="B32">
        <v>1.3817631462597124</v>
      </c>
      <c r="C32">
        <v>2</v>
      </c>
      <c r="D32">
        <v>0.67103943947949618</v>
      </c>
      <c r="E32">
        <v>0</v>
      </c>
    </row>
    <row r="33" spans="1:5" x14ac:dyDescent="0.3">
      <c r="A33">
        <v>13.267496037582184</v>
      </c>
      <c r="B33">
        <v>1.3864745331005897</v>
      </c>
      <c r="C33">
        <v>1</v>
      </c>
      <c r="D33">
        <v>0.81765137809173183</v>
      </c>
      <c r="E33">
        <v>0</v>
      </c>
    </row>
    <row r="34" spans="1:5" x14ac:dyDescent="0.3">
      <c r="A34">
        <v>13.583953287616328</v>
      </c>
      <c r="B34">
        <v>0.74903621170494394</v>
      </c>
      <c r="C34">
        <v>1</v>
      </c>
      <c r="D34">
        <v>0.49141147742062335</v>
      </c>
      <c r="E34">
        <v>0</v>
      </c>
    </row>
    <row r="35" spans="1:5" x14ac:dyDescent="0.3">
      <c r="A35">
        <v>11.697292966464158</v>
      </c>
      <c r="B35">
        <v>1.1537471530023213</v>
      </c>
      <c r="C35">
        <v>0</v>
      </c>
      <c r="D35">
        <v>0.76010331746367954</v>
      </c>
      <c r="E35">
        <v>0</v>
      </c>
    </row>
    <row r="36" spans="1:5" x14ac:dyDescent="0.3">
      <c r="A36">
        <v>18.826631600453229</v>
      </c>
      <c r="B36">
        <v>1.7238950925476964</v>
      </c>
      <c r="C36">
        <v>1</v>
      </c>
      <c r="D36">
        <v>0.78274707443153746</v>
      </c>
      <c r="E36">
        <v>2.2727272727272728E-2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8E61A17A641294E95F7C70815D7F45E" ma:contentTypeVersion="9" ma:contentTypeDescription="Create a new document." ma:contentTypeScope="" ma:versionID="9813a1e7e4f4ca8d227a898c9c71e5b0">
  <xsd:schema xmlns:xsd="http://www.w3.org/2001/XMLSchema" xmlns:xs="http://www.w3.org/2001/XMLSchema" xmlns:p="http://schemas.microsoft.com/office/2006/metadata/properties" xmlns:ns3="e9a7cd8d-9d21-412f-b58c-f41e54ba8d12" xmlns:ns4="646b656c-6a4b-4c4c-99e2-905d78ccda18" targetNamespace="http://schemas.microsoft.com/office/2006/metadata/properties" ma:root="true" ma:fieldsID="8dd98d13be3273d5d9438f57354a5d73" ns3:_="" ns4:_="">
    <xsd:import namespace="e9a7cd8d-9d21-412f-b58c-f41e54ba8d12"/>
    <xsd:import namespace="646b656c-6a4b-4c4c-99e2-905d78ccda18"/>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a7cd8d-9d21-412f-b58c-f41e54ba8d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46b656c-6a4b-4c4c-99e2-905d78ccda1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8E4314-606A-42D8-9385-47F751B8E450}">
  <ds:schemaRefs>
    <ds:schemaRef ds:uri="http://schemas.microsoft.com/office/2006/metadata/properties"/>
    <ds:schemaRef ds:uri="e9a7cd8d-9d21-412f-b58c-f41e54ba8d12"/>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646b656c-6a4b-4c4c-99e2-905d78ccda18"/>
    <ds:schemaRef ds:uri="http://purl.org/dc/terms/"/>
    <ds:schemaRef ds:uri="http://purl.org/dc/elements/1.1/"/>
  </ds:schemaRefs>
</ds:datastoreItem>
</file>

<file path=customXml/itemProps2.xml><?xml version="1.0" encoding="utf-8"?>
<ds:datastoreItem xmlns:ds="http://schemas.openxmlformats.org/officeDocument/2006/customXml" ds:itemID="{C0E8737C-388B-4068-A489-BD461FEA97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a7cd8d-9d21-412f-b58c-f41e54ba8d12"/>
    <ds:schemaRef ds:uri="646b656c-6a4b-4c4c-99e2-905d78ccda1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5311F2-DCEF-4159-BD4E-0A68286D69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M_G_3</vt:lpstr>
      <vt:lpstr>M_G_2</vt:lpstr>
      <vt:lpstr>M_G_1</vt:lpstr>
      <vt:lpstr>M_G_c</vt:lpstr>
      <vt:lpstr>Summary</vt:lpstr>
      <vt:lpstr>PhoneCaller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Arjun Iyer</dc:creator>
  <cp:lastModifiedBy>Arjun Iyer</cp:lastModifiedBy>
  <dcterms:created xsi:type="dcterms:W3CDTF">2022-10-24T22:43:47Z</dcterms:created>
  <dcterms:modified xsi:type="dcterms:W3CDTF">2022-10-25T19:57:15Z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0x010100D8E61A17A641294E95F7C70815D7F45E</vt:lpwstr>
  </property>
</Properties>
</file>